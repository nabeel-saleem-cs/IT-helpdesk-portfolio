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beel\Downloads\GitHub Projects\IT Helpdesk\helpdesk-ticket-system\data\"/>
    </mc:Choice>
  </mc:AlternateContent>
  <xr:revisionPtr revIDLastSave="0" documentId="13_ncr:1_{90FA9900-6DDB-4CF9-B5C5-0C353E7F2F26}" xr6:coauthVersionLast="47" xr6:coauthVersionMax="47" xr10:uidLastSave="{00000000-0000-0000-0000-000000000000}"/>
  <bookViews>
    <workbookView xWindow="-110" yWindow="-110" windowWidth="19420" windowHeight="10300" xr2:uid="{F1A8AE1D-E886-4ACA-9021-9C734C86F920}"/>
  </bookViews>
  <sheets>
    <sheet name="Helpdesk_Summary" sheetId="1" r:id="rId1"/>
    <sheet name="Tickets_Data" sheetId="3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B51" i="1" s="1"/>
  <c r="I16" i="3"/>
  <c r="I15" i="3"/>
  <c r="I14" i="3"/>
  <c r="I13" i="3"/>
  <c r="I12" i="3"/>
  <c r="I11" i="3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I3" i="3"/>
  <c r="B31" i="1"/>
  <c r="B30" i="1"/>
  <c r="B29" i="1"/>
  <c r="B28" i="1"/>
  <c r="B27" i="1"/>
  <c r="B17" i="1"/>
  <c r="B16" i="1"/>
  <c r="B15" i="1"/>
  <c r="B4" i="1"/>
  <c r="B3" i="1"/>
  <c r="B2" i="1"/>
  <c r="B40" i="1"/>
  <c r="B41" i="1"/>
  <c r="B42" i="1"/>
  <c r="B43" i="1"/>
  <c r="B44" i="1"/>
  <c r="B45" i="1"/>
  <c r="B46" i="1"/>
  <c r="B39" i="1"/>
  <c r="J3" i="3"/>
  <c r="J4" i="3"/>
  <c r="J11" i="3"/>
  <c r="J12" i="3"/>
  <c r="J13" i="3"/>
  <c r="J14" i="3"/>
  <c r="J15" i="3"/>
  <c r="J16" i="3"/>
  <c r="J2" i="3" l="1"/>
</calcChain>
</file>

<file path=xl/sharedStrings.xml><?xml version="1.0" encoding="utf-8"?>
<sst xmlns="http://schemas.openxmlformats.org/spreadsheetml/2006/main" count="153" uniqueCount="83">
  <si>
    <t>Total Tickets</t>
  </si>
  <si>
    <t>Open Tickets</t>
  </si>
  <si>
    <t>Closed Tickets</t>
  </si>
  <si>
    <t>Priority</t>
  </si>
  <si>
    <t>Count</t>
  </si>
  <si>
    <t>High</t>
  </si>
  <si>
    <t>Medium</t>
  </si>
  <si>
    <t>Low</t>
  </si>
  <si>
    <t>Issue Type</t>
  </si>
  <si>
    <t>Login</t>
  </si>
  <si>
    <t>Email</t>
  </si>
  <si>
    <t>Network</t>
  </si>
  <si>
    <t>Software</t>
  </si>
  <si>
    <t>Hardware</t>
  </si>
  <si>
    <t>Ticket ID</t>
  </si>
  <si>
    <t>User Name</t>
  </si>
  <si>
    <t>Description</t>
  </si>
  <si>
    <t>Status</t>
  </si>
  <si>
    <t>Resolution</t>
  </si>
  <si>
    <t>John Smith</t>
  </si>
  <si>
    <t>Unable to reset password</t>
  </si>
  <si>
    <t>Closed</t>
  </si>
  <si>
    <t>Password reset completed</t>
  </si>
  <si>
    <t>Emily Davis</t>
  </si>
  <si>
    <t>Outlook not syncing</t>
  </si>
  <si>
    <t>Reconfigured email account</t>
  </si>
  <si>
    <t>Michael Brown</t>
  </si>
  <si>
    <t>Wi-Fi not connecting</t>
  </si>
  <si>
    <t>Router restarted</t>
  </si>
  <si>
    <t>Sarah Johnson</t>
  </si>
  <si>
    <t>Application crashing on startup</t>
  </si>
  <si>
    <t>Open</t>
  </si>
  <si>
    <t>In progress</t>
  </si>
  <si>
    <t>David Wilson</t>
  </si>
  <si>
    <t>Account locked after failed attempts</t>
  </si>
  <si>
    <t>Account unlocked</t>
  </si>
  <si>
    <t>Jessica Martinez</t>
  </si>
  <si>
    <t>Keyboard not working</t>
  </si>
  <si>
    <t>Replaced keyboard</t>
  </si>
  <si>
    <t>Daniel Anderson</t>
  </si>
  <si>
    <t>VPN connection failing</t>
  </si>
  <si>
    <t>Investigating issue</t>
  </si>
  <si>
    <t>Ashley Thomas</t>
  </si>
  <si>
    <t>Emails going to spam</t>
  </si>
  <si>
    <t>Updated spam filters</t>
  </si>
  <si>
    <t>Christopher Taylor</t>
  </si>
  <si>
    <t>Unable to install application</t>
  </si>
  <si>
    <t>Installed with admin rights</t>
  </si>
  <si>
    <t>Megan Moore</t>
  </si>
  <si>
    <t>Forgot password</t>
  </si>
  <si>
    <t>Password reset</t>
  </si>
  <si>
    <t>Matthew Jackson</t>
  </si>
  <si>
    <t>Slow internet connection</t>
  </si>
  <si>
    <t>Monitoring network</t>
  </si>
  <si>
    <t>Olivia White</t>
  </si>
  <si>
    <t>Mouse not responding</t>
  </si>
  <si>
    <t>Replaced mouse</t>
  </si>
  <si>
    <t>Andrew Harris</t>
  </si>
  <si>
    <t>System freezing frequently</t>
  </si>
  <si>
    <t>Under diagnosis</t>
  </si>
  <si>
    <t>Samantha Martin</t>
  </si>
  <si>
    <t>Cannot send emails</t>
  </si>
  <si>
    <t>SMTP settings fixed</t>
  </si>
  <si>
    <t>Joshua Thompson</t>
  </si>
  <si>
    <t>Multi-factor authentication issue</t>
  </si>
  <si>
    <t>MFA reset completed</t>
  </si>
  <si>
    <t>Grand Total</t>
  </si>
  <si>
    <t>Row Labels</t>
  </si>
  <si>
    <t>Calculation Using Formulas</t>
  </si>
  <si>
    <t>Calculation Using Pivot Table</t>
  </si>
  <si>
    <t>Charts</t>
  </si>
  <si>
    <t>Count of Priority</t>
  </si>
  <si>
    <t>Count of Issue Type</t>
  </si>
  <si>
    <t>Date Issued</t>
  </si>
  <si>
    <t>Date Resolved</t>
  </si>
  <si>
    <t>Count of Date Issued</t>
  </si>
  <si>
    <t>Average of Resolution Time</t>
  </si>
  <si>
    <t>Average Resolution time</t>
  </si>
  <si>
    <t>Resolution Time Analysis (Days)</t>
  </si>
  <si>
    <t>Resolution Time (Days)</t>
  </si>
  <si>
    <t>Count by Priority</t>
  </si>
  <si>
    <t>Count by Issue Type</t>
  </si>
  <si>
    <t>Count by Date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</si>
</sst>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2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colors>
    <mruColors>
      <color rgb="FF33CC33"/>
      <color rgb="FF9900FF"/>
      <color rgb="FFEE12BA"/>
      <color rgb="FF7B20E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[helpdesk_ticket_dashboard.xlsx]Helpdesk_Summary!PivotTable1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Helpdesk_Summary!$G$2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111-4E8E-818A-D017EB7A29D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1B-40BD-8B81-07BCF62EB5DF}"/>
              </c:ext>
            </c:extLst>
          </c:dPt>
          <c:cat>
            <c:strRef>
              <c:f>Helpdesk_Summary!$F$3:$F$5</c:f>
              <c:strCache>
                <c:ptCount val="2"/>
                <c:pt idx="0">
                  <c:v>Closed</c:v>
                </c:pt>
                <c:pt idx="1">
                  <c:v>Open</c:v>
                </c:pt>
              </c:strCache>
            </c:strRef>
          </c:cat>
          <c:val>
            <c:numRef>
              <c:f>Helpdesk_Summary!$G$3:$G$5</c:f>
              <c:numCache>
                <c:formatCode>General</c:formatCode>
                <c:ptCount val="2"/>
                <c:pt idx="0">
                  <c:v>11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1-4E8E-818A-D017EB7A2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[helpdesk_ticket_dashboard.xlsx]Helpdesk_Summary!PivotTable2</c:name>
    <c:fmtId val="0"/>
  </c:pivotSource>
  <c:chart>
    <c:autoTitleDeleted val="1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341192848131549E-2"/>
          <c:y val="0.11176537715394272"/>
          <c:w val="0.89284891153311718"/>
          <c:h val="0.702287820405428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Helpdesk_Summary!$G$14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Helpdesk_Summary!$F$15:$F$18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Helpdesk_Summary!$G$15:$G$18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78-4477-A437-BB31773225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5142560"/>
        <c:axId val="875143040"/>
      </c:barChart>
      <c:catAx>
        <c:axId val="87514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143040"/>
        <c:crosses val="autoZero"/>
        <c:auto val="1"/>
        <c:lblAlgn val="ctr"/>
        <c:lblOffset val="100"/>
        <c:noMultiLvlLbl val="0"/>
      </c:catAx>
      <c:valAx>
        <c:axId val="8751430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14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[helpdesk_ticket_dashboard.xlsx]Helpdesk_Summary!PivotTable3</c:name>
    <c:fmtId val="0"/>
  </c:pivotSource>
  <c:chart>
    <c:autoTitleDeleted val="1"/>
    <c:pivotFmts>
      <c:pivotFmt>
        <c:idx val="0"/>
        <c:spPr>
          <a:solidFill>
            <a:srgbClr val="33CC3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397068465486946E-2"/>
          <c:y val="0.12745181045917647"/>
          <c:w val="0.88074455569466126"/>
          <c:h val="0.56503711229644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Helpdesk_Summary!$G$26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Helpdesk_Summary!$F$27:$F$32</c:f>
              <c:strCache>
                <c:ptCount val="5"/>
                <c:pt idx="0">
                  <c:v>Email</c:v>
                </c:pt>
                <c:pt idx="1">
                  <c:v>Hardware</c:v>
                </c:pt>
                <c:pt idx="2">
                  <c:v>Login</c:v>
                </c:pt>
                <c:pt idx="3">
                  <c:v>Network</c:v>
                </c:pt>
                <c:pt idx="4">
                  <c:v>Software</c:v>
                </c:pt>
              </c:strCache>
            </c:strRef>
          </c:cat>
          <c:val>
            <c:numRef>
              <c:f>Helpdesk_Summary!$G$27:$G$32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AE-4106-8535-F57C81F4D9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8211792"/>
        <c:axId val="878213712"/>
      </c:barChart>
      <c:catAx>
        <c:axId val="87821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13712"/>
        <c:crosses val="autoZero"/>
        <c:auto val="1"/>
        <c:lblAlgn val="ctr"/>
        <c:lblOffset val="100"/>
        <c:noMultiLvlLbl val="0"/>
      </c:catAx>
      <c:valAx>
        <c:axId val="87821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1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[helpdesk_ticket_dashboard.xlsx]Helpdesk_Summary!PivotTable4</c:name>
    <c:fmtId val="0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36897114203436"/>
          <c:y val="0.20630485705415855"/>
          <c:w val="0.78332037779165065"/>
          <c:h val="0.32844184799480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Helpdesk_Summary!$G$38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Helpdesk_Summary!$F$39:$F$47</c:f>
              <c:strCache>
                <c:ptCount val="8"/>
                <c:pt idx="0">
                  <c:v>3/1/2026</c:v>
                </c:pt>
                <c:pt idx="1">
                  <c:v>3/2/2026</c:v>
                </c:pt>
                <c:pt idx="2">
                  <c:v>3/3/2026</c:v>
                </c:pt>
                <c:pt idx="3">
                  <c:v>3/4/2026</c:v>
                </c:pt>
                <c:pt idx="4">
                  <c:v>3/5/2026</c:v>
                </c:pt>
                <c:pt idx="5">
                  <c:v>3/6/2026</c:v>
                </c:pt>
                <c:pt idx="6">
                  <c:v>3/7/2026</c:v>
                </c:pt>
                <c:pt idx="7">
                  <c:v>3/8/2026</c:v>
                </c:pt>
              </c:strCache>
            </c:strRef>
          </c:cat>
          <c:val>
            <c:numRef>
              <c:f>Helpdesk_Summary!$G$39:$G$47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C-440E-9D68-3DF023785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032160"/>
        <c:axId val="649029280"/>
      </c:barChart>
      <c:catAx>
        <c:axId val="64903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029280"/>
        <c:crosses val="autoZero"/>
        <c:auto val="1"/>
        <c:lblAlgn val="ctr"/>
        <c:lblOffset val="100"/>
        <c:noMultiLvlLbl val="0"/>
      </c:catAx>
      <c:valAx>
        <c:axId val="64902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03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[helpdesk_ticket_dashboard.xlsx]Helpdesk_Summary!PivotTable6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Helpdesk_Summary!$G$50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2F-48B7-B3F4-3A2028B7C0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2F-48B7-B3F4-3A2028B7C0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2F-48B7-B3F4-3A2028B7C09E}"/>
              </c:ext>
            </c:extLst>
          </c:dPt>
          <c:cat>
            <c:strRef>
              <c:f>Helpdesk_Summary!$F$51:$F$54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Helpdesk_Summary!$G$51:$G$54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C-42DC-87E0-D246019D1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1</xdr:row>
      <xdr:rowOff>127000</xdr:rowOff>
    </xdr:from>
    <xdr:to>
      <xdr:col>12</xdr:col>
      <xdr:colOff>577850</xdr:colOff>
      <xdr:row>11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9819D7-C662-60E0-745A-F80160CC8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349250</xdr:colOff>
      <xdr:row>12</xdr:row>
      <xdr:rowOff>69850</xdr:rowOff>
    </xdr:from>
    <xdr:to>
      <xdr:col>12</xdr:col>
      <xdr:colOff>590550</xdr:colOff>
      <xdr:row>21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3C57FE-D424-9BE2-68D3-EBC1DF0DE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355599</xdr:colOff>
      <xdr:row>24</xdr:row>
      <xdr:rowOff>25400</xdr:rowOff>
    </xdr:from>
    <xdr:to>
      <xdr:col>13</xdr:col>
      <xdr:colOff>139700</xdr:colOff>
      <xdr:row>33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28444F-4802-72EB-00E7-2D5FAFA3F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171450</xdr:colOff>
      <xdr:row>36</xdr:row>
      <xdr:rowOff>114300</xdr:rowOff>
    </xdr:from>
    <xdr:to>
      <xdr:col>13</xdr:col>
      <xdr:colOff>596900</xdr:colOff>
      <xdr:row>46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399F99-CDD7-3331-367D-9668EF0F7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171450</xdr:colOff>
      <xdr:row>47</xdr:row>
      <xdr:rowOff>165100</xdr:rowOff>
    </xdr:from>
    <xdr:to>
      <xdr:col>13</xdr:col>
      <xdr:colOff>406400</xdr:colOff>
      <xdr:row>59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F36C08-FA69-3E9A-5939-0A988565D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beel" refreshedDate="46100.706371296299" createdVersion="8" refreshedVersion="8" minRefreshableVersion="3" recordCount="15" xr:uid="{76F97117-C9CE-40EB-875D-194F5BB03296}">
  <cacheSource type="worksheet">
    <worksheetSource ref="A1:H16" sheet="Tickets_Data"/>
  </cacheSource>
  <cacheFields count="8">
    <cacheField name="Ticket ID" numFmtId="0">
      <sharedItems containsSemiMixedTypes="0" containsString="0" containsNumber="1" containsInteger="1" minValue="1" maxValue="15"/>
    </cacheField>
    <cacheField name="Date" numFmtId="14">
      <sharedItems containsSemiMixedTypes="0" containsNonDate="0" containsDate="1" containsString="0" minDate="2026-03-01T00:00:00" maxDate="2026-03-09T00:00:00"/>
    </cacheField>
    <cacheField name="User Name" numFmtId="0">
      <sharedItems/>
    </cacheField>
    <cacheField name="Issue Type" numFmtId="0">
      <sharedItems count="5">
        <s v="Login"/>
        <s v="Email"/>
        <s v="Network"/>
        <s v="Software"/>
        <s v="Hardware"/>
      </sharedItems>
    </cacheField>
    <cacheField name="Description" numFmtId="0">
      <sharedItems/>
    </cacheField>
    <cacheField name="Priority" numFmtId="0">
      <sharedItems count="3">
        <s v="High"/>
        <s v="Medium"/>
        <s v="Low"/>
      </sharedItems>
    </cacheField>
    <cacheField name="Status" numFmtId="0">
      <sharedItems count="2">
        <s v="Closed"/>
        <s v="Open"/>
      </sharedItems>
    </cacheField>
    <cacheField name="Resolu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beel" refreshedDate="46100.768781134262" createdVersion="8" refreshedVersion="8" minRefreshableVersion="3" recordCount="15" xr:uid="{0E38CF19-FC79-4A4D-B57E-632E8708B95B}">
  <cacheSource type="worksheet">
    <worksheetSource ref="A1:J16" sheet="Tickets_Data"/>
  </cacheSource>
  <cacheFields count="10">
    <cacheField name="Ticket ID" numFmtId="0">
      <sharedItems containsSemiMixedTypes="0" containsString="0" containsNumber="1" containsInteger="1" minValue="1" maxValue="15"/>
    </cacheField>
    <cacheField name="Date Issued" numFmtId="14">
      <sharedItems containsSemiMixedTypes="0" containsNonDate="0" containsDate="1" containsString="0" minDate="2026-03-01T00:00:00" maxDate="2026-03-09T00:00:00" count="8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</sharedItems>
    </cacheField>
    <cacheField name="User Name" numFmtId="0">
      <sharedItems/>
    </cacheField>
    <cacheField name="Issue Type" numFmtId="0">
      <sharedItems/>
    </cacheField>
    <cacheField name="Description" numFmtId="0">
      <sharedItems/>
    </cacheField>
    <cacheField name="Priority" numFmtId="0">
      <sharedItems count="3">
        <s v="High"/>
        <s v="Medium"/>
        <s v="Low"/>
      </sharedItems>
    </cacheField>
    <cacheField name="Status" numFmtId="0">
      <sharedItems/>
    </cacheField>
    <cacheField name="Resolution" numFmtId="0">
      <sharedItems/>
    </cacheField>
    <cacheField name="Resolution Time" numFmtId="0">
      <sharedItems containsSemiMixedTypes="0" containsString="0" containsNumber="1" containsInteger="1" minValue="1" maxValue="3"/>
    </cacheField>
    <cacheField name="Date Resolved" numFmtId="14">
      <sharedItems containsSemiMixedTypes="0" containsNonDate="0" containsDate="1" containsString="0" minDate="2026-03-02T00:00:00" maxDate="2026-03-1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d v="2026-03-01T00:00:00"/>
    <s v="John Smith"/>
    <x v="0"/>
    <s v="Unable to reset password"/>
    <x v="0"/>
    <x v="0"/>
    <s v="Password reset completed"/>
  </r>
  <r>
    <n v="2"/>
    <d v="2026-03-01T00:00:00"/>
    <s v="Emily Davis"/>
    <x v="1"/>
    <s v="Outlook not syncing"/>
    <x v="1"/>
    <x v="0"/>
    <s v="Reconfigured email account"/>
  </r>
  <r>
    <n v="3"/>
    <d v="2026-03-02T00:00:00"/>
    <s v="Michael Brown"/>
    <x v="2"/>
    <s v="Wi-Fi not connecting"/>
    <x v="0"/>
    <x v="0"/>
    <s v="Router restarted"/>
  </r>
  <r>
    <n v="4"/>
    <d v="2026-03-02T00:00:00"/>
    <s v="Sarah Johnson"/>
    <x v="3"/>
    <s v="Application crashing on startup"/>
    <x v="1"/>
    <x v="1"/>
    <s v="In progress"/>
  </r>
  <r>
    <n v="5"/>
    <d v="2026-03-03T00:00:00"/>
    <s v="David Wilson"/>
    <x v="0"/>
    <s v="Account locked after failed attempts"/>
    <x v="0"/>
    <x v="0"/>
    <s v="Account unlocked"/>
  </r>
  <r>
    <n v="6"/>
    <d v="2026-03-03T00:00:00"/>
    <s v="Jessica Martinez"/>
    <x v="4"/>
    <s v="Keyboard not working"/>
    <x v="2"/>
    <x v="0"/>
    <s v="Replaced keyboard"/>
  </r>
  <r>
    <n v="7"/>
    <d v="2026-03-04T00:00:00"/>
    <s v="Daniel Anderson"/>
    <x v="2"/>
    <s v="VPN connection failing"/>
    <x v="0"/>
    <x v="1"/>
    <s v="Investigating issue"/>
  </r>
  <r>
    <n v="8"/>
    <d v="2026-03-04T00:00:00"/>
    <s v="Ashley Thomas"/>
    <x v="1"/>
    <s v="Emails going to spam"/>
    <x v="2"/>
    <x v="0"/>
    <s v="Updated spam filters"/>
  </r>
  <r>
    <n v="9"/>
    <d v="2026-03-05T00:00:00"/>
    <s v="Christopher Taylor"/>
    <x v="3"/>
    <s v="Unable to install application"/>
    <x v="1"/>
    <x v="0"/>
    <s v="Installed with admin rights"/>
  </r>
  <r>
    <n v="10"/>
    <d v="2026-03-05T00:00:00"/>
    <s v="Megan Moore"/>
    <x v="0"/>
    <s v="Forgot password"/>
    <x v="2"/>
    <x v="0"/>
    <s v="Password reset"/>
  </r>
  <r>
    <n v="11"/>
    <d v="2026-03-06T00:00:00"/>
    <s v="Matthew Jackson"/>
    <x v="2"/>
    <s v="Slow internet connection"/>
    <x v="1"/>
    <x v="1"/>
    <s v="Monitoring network"/>
  </r>
  <r>
    <n v="12"/>
    <d v="2026-03-06T00:00:00"/>
    <s v="Olivia White"/>
    <x v="4"/>
    <s v="Mouse not responding"/>
    <x v="2"/>
    <x v="0"/>
    <s v="Replaced mouse"/>
  </r>
  <r>
    <n v="13"/>
    <d v="2026-03-07T00:00:00"/>
    <s v="Andrew Harris"/>
    <x v="3"/>
    <s v="System freezing frequently"/>
    <x v="0"/>
    <x v="1"/>
    <s v="Under diagnosis"/>
  </r>
  <r>
    <n v="14"/>
    <d v="2026-03-07T00:00:00"/>
    <s v="Samantha Martin"/>
    <x v="1"/>
    <s v="Cannot send emails"/>
    <x v="1"/>
    <x v="0"/>
    <s v="SMTP settings fixed"/>
  </r>
  <r>
    <n v="15"/>
    <d v="2026-03-08T00:00:00"/>
    <s v="Joshua Thompson"/>
    <x v="0"/>
    <s v="Multi-factor authentication issue"/>
    <x v="0"/>
    <x v="0"/>
    <s v="MFA reset complet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x v="0"/>
    <s v="John Smith"/>
    <s v="Login"/>
    <s v="Unable to reset password"/>
    <x v="0"/>
    <s v="Closed"/>
    <s v="Password reset completed"/>
    <n v="1"/>
    <d v="2026-03-02T00:00:00"/>
  </r>
  <r>
    <n v="2"/>
    <x v="0"/>
    <s v="Emily Davis"/>
    <s v="Email"/>
    <s v="Outlook not syncing"/>
    <x v="1"/>
    <s v="Closed"/>
    <s v="Reconfigured email account"/>
    <n v="2"/>
    <d v="2026-03-03T00:00:00"/>
  </r>
  <r>
    <n v="3"/>
    <x v="1"/>
    <s v="Michael Brown"/>
    <s v="Network"/>
    <s v="Wi-Fi not connecting"/>
    <x v="0"/>
    <s v="Closed"/>
    <s v="Router restarted"/>
    <n v="1"/>
    <d v="2026-03-03T00:00:00"/>
  </r>
  <r>
    <n v="4"/>
    <x v="1"/>
    <s v="Sarah Johnson"/>
    <s v="Software"/>
    <s v="Application crashing on startup"/>
    <x v="1"/>
    <s v="Open"/>
    <s v="In progress"/>
    <n v="2"/>
    <d v="2026-03-04T00:00:00"/>
  </r>
  <r>
    <n v="5"/>
    <x v="2"/>
    <s v="David Wilson"/>
    <s v="Login"/>
    <s v="Account locked after failed attempts"/>
    <x v="0"/>
    <s v="Closed"/>
    <s v="Account unlocked"/>
    <n v="1"/>
    <d v="2026-03-04T00:00:00"/>
  </r>
  <r>
    <n v="6"/>
    <x v="2"/>
    <s v="Jessica Martinez"/>
    <s v="Hardware"/>
    <s v="Keyboard not working"/>
    <x v="2"/>
    <s v="Closed"/>
    <s v="Replaced keyboard"/>
    <n v="3"/>
    <d v="2026-03-06T00:00:00"/>
  </r>
  <r>
    <n v="7"/>
    <x v="3"/>
    <s v="Daniel Anderson"/>
    <s v="Network"/>
    <s v="VPN connection failing"/>
    <x v="0"/>
    <s v="Open"/>
    <s v="Investigating issue"/>
    <n v="1"/>
    <d v="2026-03-05T00:00:00"/>
  </r>
  <r>
    <n v="8"/>
    <x v="3"/>
    <s v="Ashley Thomas"/>
    <s v="Email"/>
    <s v="Emails going to spam"/>
    <x v="2"/>
    <s v="Closed"/>
    <s v="Updated spam filters"/>
    <n v="3"/>
    <d v="2026-03-07T00:00:00"/>
  </r>
  <r>
    <n v="9"/>
    <x v="4"/>
    <s v="Christopher Taylor"/>
    <s v="Software"/>
    <s v="Unable to install application"/>
    <x v="1"/>
    <s v="Closed"/>
    <s v="Installed with admin rights"/>
    <n v="2"/>
    <d v="2026-03-07T00:00:00"/>
  </r>
  <r>
    <n v="10"/>
    <x v="4"/>
    <s v="Megan Moore"/>
    <s v="Login"/>
    <s v="Forgot password"/>
    <x v="2"/>
    <s v="Closed"/>
    <s v="Password reset"/>
    <n v="3"/>
    <d v="2026-03-08T00:00:00"/>
  </r>
  <r>
    <n v="11"/>
    <x v="5"/>
    <s v="Matthew Jackson"/>
    <s v="Network"/>
    <s v="Slow internet connection"/>
    <x v="1"/>
    <s v="Open"/>
    <s v="Monitoring network"/>
    <n v="2"/>
    <d v="2026-03-08T00:00:00"/>
  </r>
  <r>
    <n v="12"/>
    <x v="5"/>
    <s v="Olivia White"/>
    <s v="Hardware"/>
    <s v="Mouse not responding"/>
    <x v="2"/>
    <s v="Closed"/>
    <s v="Replaced mouse"/>
    <n v="3"/>
    <d v="2026-03-09T00:00:00"/>
  </r>
  <r>
    <n v="13"/>
    <x v="6"/>
    <s v="Andrew Harris"/>
    <s v="Software"/>
    <s v="System freezing frequently"/>
    <x v="0"/>
    <s v="Open"/>
    <s v="Under diagnosis"/>
    <n v="1"/>
    <d v="2026-03-08T00:00:00"/>
  </r>
  <r>
    <n v="14"/>
    <x v="6"/>
    <s v="Samantha Martin"/>
    <s v="Email"/>
    <s v="Cannot send emails"/>
    <x v="1"/>
    <s v="Closed"/>
    <s v="SMTP settings fixed"/>
    <n v="2"/>
    <d v="2026-03-09T00:00:00"/>
  </r>
  <r>
    <n v="15"/>
    <x v="7"/>
    <s v="Joshua Thompson"/>
    <s v="Login"/>
    <s v="Multi-factor authentication issue"/>
    <x v="0"/>
    <s v="Closed"/>
    <s v="MFA reset completed"/>
    <n v="1"/>
    <d v="2026-03-0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C0E0B-AC90-45C7-A3AF-FB4994CBF9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26:G32" firstHeaderRow="1" firstDataRow="1" firstDataCol="1"/>
  <pivotFields count="8">
    <pivotField showAll="0"/>
    <pivotField numFmtId="14" showAll="0"/>
    <pivotField showAll="0"/>
    <pivotField axis="axisRow" dataField="1" showAll="0">
      <items count="6">
        <item x="1"/>
        <item x="4"/>
        <item x="0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ssue Type" fld="3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ED741-E983-447B-8972-D0895D203F7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4:G18" firstHeaderRow="1" firstDataRow="1" firstDataCol="1"/>
  <pivotFields count="8">
    <pivotField showAll="0"/>
    <pivotField numFmtId="14"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iority" fld="5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B0466-EF98-48D6-8CE7-02F55F6308B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F2:G5" firstHeaderRow="1" firstDataRow="1" firstDataCol="1"/>
  <pivotFields count="8">
    <pivotField dataField="1" showAll="0"/>
    <pivotField numFmtId="14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Total Tickets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A5D9D-0A24-491A-BE46-550303BDC16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50:G54" firstHeaderRow="1" firstDataRow="1" firstDataCol="1"/>
  <pivotFields count="10">
    <pivotField showAll="0"/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numFmtId="14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solution Time" fld="8" subtotal="average" baseField="5" baseItem="0"/>
  </dataFields>
  <formats count="1">
    <format dxfId="0">
      <pivotArea grandRow="1"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01F00-06BF-4148-92DC-CDAEA7209A4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38:G47" firstHeaderRow="1" firstDataRow="1" firstDataCol="1"/>
  <pivotFields count="10">
    <pivotField dataField="1" showAll="0"/>
    <pivotField axis="axisRow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Date Issued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6EF8-C1A0-4E04-B4B5-2E5D42BA9657}">
  <dimension ref="A1:M54"/>
  <sheetViews>
    <sheetView tabSelected="1" workbookViewId="0">
      <selection activeCell="D55" sqref="D55"/>
    </sheetView>
  </sheetViews>
  <sheetFormatPr defaultRowHeight="14.5" x14ac:dyDescent="0.35"/>
  <cols>
    <col min="1" max="1" width="21.90625" bestFit="1" customWidth="1"/>
    <col min="2" max="2" width="5.90625" bestFit="1" customWidth="1"/>
    <col min="3" max="3" width="5.26953125" bestFit="1" customWidth="1"/>
    <col min="4" max="4" width="10.36328125" bestFit="1" customWidth="1"/>
    <col min="6" max="6" width="12.453125" bestFit="1" customWidth="1"/>
    <col min="7" max="7" width="23.453125" bestFit="1" customWidth="1"/>
    <col min="8" max="8" width="4.08984375" bestFit="1" customWidth="1"/>
    <col min="9" max="9" width="7.6328125" bestFit="1" customWidth="1"/>
    <col min="10" max="10" width="10.36328125" bestFit="1" customWidth="1"/>
  </cols>
  <sheetData>
    <row r="1" spans="1:13" x14ac:dyDescent="0.35">
      <c r="A1" s="9" t="s">
        <v>68</v>
      </c>
      <c r="B1" s="9"/>
      <c r="F1" s="9" t="s">
        <v>69</v>
      </c>
      <c r="G1" s="9"/>
      <c r="I1" s="9" t="s">
        <v>70</v>
      </c>
      <c r="J1" s="9"/>
      <c r="K1" s="9"/>
      <c r="L1" s="9"/>
      <c r="M1" s="9"/>
    </row>
    <row r="2" spans="1:13" x14ac:dyDescent="0.35">
      <c r="A2" s="10" t="s">
        <v>0</v>
      </c>
      <c r="B2">
        <f>COUNTA(Tickets_Data!A2:A16)</f>
        <v>15</v>
      </c>
      <c r="F2" s="3" t="s">
        <v>67</v>
      </c>
      <c r="G2" t="s">
        <v>0</v>
      </c>
    </row>
    <row r="3" spans="1:13" x14ac:dyDescent="0.35">
      <c r="A3" s="10" t="s">
        <v>1</v>
      </c>
      <c r="B3">
        <f>COUNTIF(Tickets_Data!G:G, "Open")</f>
        <v>4</v>
      </c>
      <c r="F3" s="4" t="s">
        <v>21</v>
      </c>
      <c r="G3">
        <v>11</v>
      </c>
    </row>
    <row r="4" spans="1:13" x14ac:dyDescent="0.35">
      <c r="A4" s="10" t="s">
        <v>2</v>
      </c>
      <c r="B4">
        <f>COUNTIF(Tickets_Data!G:G, "Closed")</f>
        <v>11</v>
      </c>
      <c r="F4" s="4" t="s">
        <v>31</v>
      </c>
      <c r="G4">
        <v>4</v>
      </c>
    </row>
    <row r="5" spans="1:13" x14ac:dyDescent="0.35">
      <c r="A5" s="5"/>
      <c r="F5" s="4" t="s">
        <v>66</v>
      </c>
      <c r="G5">
        <v>15</v>
      </c>
    </row>
    <row r="6" spans="1:13" x14ac:dyDescent="0.35">
      <c r="A6" s="5"/>
      <c r="F6" s="4"/>
    </row>
    <row r="7" spans="1:13" x14ac:dyDescent="0.35">
      <c r="A7" s="5"/>
      <c r="F7" s="4"/>
    </row>
    <row r="8" spans="1:13" x14ac:dyDescent="0.35">
      <c r="A8" s="5"/>
      <c r="F8" s="4"/>
    </row>
    <row r="9" spans="1:13" x14ac:dyDescent="0.35">
      <c r="A9" s="5"/>
      <c r="F9" s="4"/>
    </row>
    <row r="10" spans="1:13" x14ac:dyDescent="0.35">
      <c r="A10" s="5"/>
      <c r="F10" s="4"/>
    </row>
    <row r="11" spans="1:13" x14ac:dyDescent="0.35">
      <c r="A11" s="5"/>
      <c r="F11" s="4"/>
    </row>
    <row r="12" spans="1:13" x14ac:dyDescent="0.35">
      <c r="A12" s="5"/>
      <c r="F12" s="4"/>
    </row>
    <row r="13" spans="1:13" x14ac:dyDescent="0.35">
      <c r="A13" s="10" t="s">
        <v>80</v>
      </c>
    </row>
    <row r="14" spans="1:13" x14ac:dyDescent="0.35">
      <c r="A14" s="5" t="s">
        <v>3</v>
      </c>
      <c r="B14" s="5" t="s">
        <v>4</v>
      </c>
      <c r="F14" s="3" t="s">
        <v>67</v>
      </c>
      <c r="G14" t="s">
        <v>71</v>
      </c>
    </row>
    <row r="15" spans="1:13" x14ac:dyDescent="0.35">
      <c r="A15" t="s">
        <v>5</v>
      </c>
      <c r="B15">
        <f>COUNTIF(Tickets_Data!F:F, A15)</f>
        <v>6</v>
      </c>
      <c r="F15" s="4" t="s">
        <v>5</v>
      </c>
      <c r="G15">
        <v>6</v>
      </c>
    </row>
    <row r="16" spans="1:13" x14ac:dyDescent="0.35">
      <c r="A16" t="s">
        <v>6</v>
      </c>
      <c r="B16">
        <f>COUNTIF(Tickets_Data!F:F, A16)</f>
        <v>5</v>
      </c>
      <c r="F16" s="4" t="s">
        <v>7</v>
      </c>
      <c r="G16">
        <v>4</v>
      </c>
    </row>
    <row r="17" spans="1:7" x14ac:dyDescent="0.35">
      <c r="A17" t="s">
        <v>7</v>
      </c>
      <c r="B17">
        <f>COUNTIF(Tickets_Data!F:F, A17)</f>
        <v>4</v>
      </c>
      <c r="F17" s="4" t="s">
        <v>6</v>
      </c>
      <c r="G17">
        <v>5</v>
      </c>
    </row>
    <row r="18" spans="1:7" x14ac:dyDescent="0.35">
      <c r="F18" s="4" t="s">
        <v>66</v>
      </c>
      <c r="G18">
        <v>15</v>
      </c>
    </row>
    <row r="25" spans="1:7" x14ac:dyDescent="0.35">
      <c r="A25" s="10" t="s">
        <v>81</v>
      </c>
    </row>
    <row r="26" spans="1:7" x14ac:dyDescent="0.35">
      <c r="A26" s="5" t="s">
        <v>8</v>
      </c>
      <c r="B26" s="5" t="s">
        <v>4</v>
      </c>
      <c r="F26" s="3" t="s">
        <v>67</v>
      </c>
      <c r="G26" t="s">
        <v>72</v>
      </c>
    </row>
    <row r="27" spans="1:7" x14ac:dyDescent="0.35">
      <c r="A27" t="s">
        <v>9</v>
      </c>
      <c r="B27">
        <f>COUNTIF(Tickets_Data!D:D, A27)</f>
        <v>4</v>
      </c>
      <c r="F27" s="4" t="s">
        <v>10</v>
      </c>
      <c r="G27">
        <v>3</v>
      </c>
    </row>
    <row r="28" spans="1:7" x14ac:dyDescent="0.35">
      <c r="A28" t="s">
        <v>10</v>
      </c>
      <c r="B28">
        <f>COUNTIF(Tickets_Data!D:D, A28)</f>
        <v>3</v>
      </c>
      <c r="F28" s="4" t="s">
        <v>13</v>
      </c>
      <c r="G28">
        <v>2</v>
      </c>
    </row>
    <row r="29" spans="1:7" x14ac:dyDescent="0.35">
      <c r="A29" t="s">
        <v>11</v>
      </c>
      <c r="B29">
        <f>COUNTIF(Tickets_Data!D:D, A29)</f>
        <v>3</v>
      </c>
      <c r="F29" s="4" t="s">
        <v>9</v>
      </c>
      <c r="G29">
        <v>4</v>
      </c>
    </row>
    <row r="30" spans="1:7" x14ac:dyDescent="0.35">
      <c r="A30" t="s">
        <v>12</v>
      </c>
      <c r="B30">
        <f>COUNTIF(Tickets_Data!D:D, A30)</f>
        <v>3</v>
      </c>
      <c r="F30" s="4" t="s">
        <v>11</v>
      </c>
      <c r="G30">
        <v>3</v>
      </c>
    </row>
    <row r="31" spans="1:7" x14ac:dyDescent="0.35">
      <c r="A31" t="s">
        <v>13</v>
      </c>
      <c r="B31">
        <f>COUNTIF(Tickets_Data!D:D, A31)</f>
        <v>2</v>
      </c>
      <c r="F31" s="4" t="s">
        <v>12</v>
      </c>
      <c r="G31">
        <v>3</v>
      </c>
    </row>
    <row r="32" spans="1:7" x14ac:dyDescent="0.35">
      <c r="F32" s="4" t="s">
        <v>66</v>
      </c>
      <c r="G32">
        <v>15</v>
      </c>
    </row>
    <row r="37" spans="1:7" x14ac:dyDescent="0.35">
      <c r="A37" s="10" t="s">
        <v>82</v>
      </c>
    </row>
    <row r="38" spans="1:7" x14ac:dyDescent="0.35">
      <c r="A38" s="5" t="s">
        <v>73</v>
      </c>
      <c r="B38" s="5" t="s">
        <v>4</v>
      </c>
      <c r="F38" s="3" t="s">
        <v>67</v>
      </c>
      <c r="G38" t="s">
        <v>75</v>
      </c>
    </row>
    <row r="39" spans="1:7" x14ac:dyDescent="0.35">
      <c r="A39" s="7">
        <v>46082</v>
      </c>
      <c r="B39">
        <f>COUNTIF(Tickets_Data!B:B,A39)</f>
        <v>2</v>
      </c>
      <c r="F39" s="7">
        <v>46082</v>
      </c>
      <c r="G39">
        <v>2</v>
      </c>
    </row>
    <row r="40" spans="1:7" x14ac:dyDescent="0.35">
      <c r="A40" s="7">
        <v>46083</v>
      </c>
      <c r="B40">
        <f>COUNTIF(Tickets_Data!B:B,A40)</f>
        <v>2</v>
      </c>
      <c r="F40" s="7">
        <v>46083</v>
      </c>
      <c r="G40">
        <v>2</v>
      </c>
    </row>
    <row r="41" spans="1:7" x14ac:dyDescent="0.35">
      <c r="A41" s="7">
        <v>46084</v>
      </c>
      <c r="B41">
        <f>COUNTIF(Tickets_Data!B:B,A41)</f>
        <v>2</v>
      </c>
      <c r="F41" s="7">
        <v>46084</v>
      </c>
      <c r="G41">
        <v>2</v>
      </c>
    </row>
    <row r="42" spans="1:7" x14ac:dyDescent="0.35">
      <c r="A42" s="7">
        <v>46085</v>
      </c>
      <c r="B42">
        <f>COUNTIF(Tickets_Data!B:B,A42)</f>
        <v>2</v>
      </c>
      <c r="F42" s="7">
        <v>46085</v>
      </c>
      <c r="G42">
        <v>2</v>
      </c>
    </row>
    <row r="43" spans="1:7" x14ac:dyDescent="0.35">
      <c r="A43" s="7">
        <v>46086</v>
      </c>
      <c r="B43">
        <f>COUNTIF(Tickets_Data!B:B,A43)</f>
        <v>2</v>
      </c>
      <c r="F43" s="7">
        <v>46086</v>
      </c>
      <c r="G43">
        <v>2</v>
      </c>
    </row>
    <row r="44" spans="1:7" x14ac:dyDescent="0.35">
      <c r="A44" s="7">
        <v>46087</v>
      </c>
      <c r="B44">
        <f>COUNTIF(Tickets_Data!B:B,A44)</f>
        <v>2</v>
      </c>
      <c r="F44" s="7">
        <v>46087</v>
      </c>
      <c r="G44">
        <v>2</v>
      </c>
    </row>
    <row r="45" spans="1:7" x14ac:dyDescent="0.35">
      <c r="A45" s="7">
        <v>46088</v>
      </c>
      <c r="B45">
        <f>COUNTIF(Tickets_Data!B:B,A45)</f>
        <v>2</v>
      </c>
      <c r="F45" s="7">
        <v>46088</v>
      </c>
      <c r="G45">
        <v>2</v>
      </c>
    </row>
    <row r="46" spans="1:7" x14ac:dyDescent="0.35">
      <c r="A46" s="7">
        <v>46089</v>
      </c>
      <c r="B46">
        <f>COUNTIF(Tickets_Data!B:B,A46)</f>
        <v>1</v>
      </c>
      <c r="F46" s="7">
        <v>46089</v>
      </c>
      <c r="G46">
        <v>1</v>
      </c>
    </row>
    <row r="47" spans="1:7" x14ac:dyDescent="0.35">
      <c r="F47" s="7" t="s">
        <v>66</v>
      </c>
      <c r="G47">
        <v>15</v>
      </c>
    </row>
    <row r="50" spans="1:7" x14ac:dyDescent="0.35">
      <c r="A50" s="10" t="s">
        <v>78</v>
      </c>
      <c r="F50" s="3" t="s">
        <v>67</v>
      </c>
      <c r="G50" t="s">
        <v>76</v>
      </c>
    </row>
    <row r="51" spans="1:7" x14ac:dyDescent="0.35">
      <c r="A51" t="s">
        <v>77</v>
      </c>
      <c r="B51" s="8">
        <f>AVERAGE(Tickets_Data!I2:I16)</f>
        <v>1.8666666666666667</v>
      </c>
      <c r="F51" s="4" t="s">
        <v>5</v>
      </c>
      <c r="G51">
        <v>1</v>
      </c>
    </row>
    <row r="52" spans="1:7" x14ac:dyDescent="0.35">
      <c r="F52" s="4" t="s">
        <v>7</v>
      </c>
      <c r="G52">
        <v>3</v>
      </c>
    </row>
    <row r="53" spans="1:7" x14ac:dyDescent="0.35">
      <c r="F53" s="4" t="s">
        <v>6</v>
      </c>
      <c r="G53">
        <v>2</v>
      </c>
    </row>
    <row r="54" spans="1:7" x14ac:dyDescent="0.35">
      <c r="F54" s="4" t="s">
        <v>66</v>
      </c>
      <c r="G54" s="8">
        <v>1.8666666666666667</v>
      </c>
    </row>
  </sheetData>
  <mergeCells count="3">
    <mergeCell ref="A1:B1"/>
    <mergeCell ref="F1:G1"/>
    <mergeCell ref="I1:M1"/>
  </mergeCell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A56F-D746-4348-8C3D-B37CE8B1DF99}">
  <dimension ref="A1:J16"/>
  <sheetViews>
    <sheetView workbookViewId="0">
      <selection activeCell="I2" sqref="I2"/>
    </sheetView>
  </sheetViews>
  <sheetFormatPr defaultRowHeight="14.5" x14ac:dyDescent="0.35"/>
  <cols>
    <col min="1" max="1" width="7.81640625" bestFit="1" customWidth="1"/>
    <col min="2" max="2" width="10.6328125" bestFit="1" customWidth="1"/>
    <col min="3" max="3" width="15.6328125" bestFit="1" customWidth="1"/>
    <col min="4" max="4" width="9.1796875" bestFit="1" customWidth="1"/>
    <col min="5" max="5" width="30.453125" bestFit="1" customWidth="1"/>
    <col min="6" max="6" width="7.26953125" bestFit="1" customWidth="1"/>
    <col min="7" max="7" width="6.453125" bestFit="1" customWidth="1"/>
    <col min="8" max="8" width="23.54296875" bestFit="1" customWidth="1"/>
    <col min="9" max="9" width="20.1796875" bestFit="1" customWidth="1"/>
    <col min="10" max="10" width="12.7265625" style="2" bestFit="1" customWidth="1"/>
  </cols>
  <sheetData>
    <row r="1" spans="1:10" x14ac:dyDescent="0.35">
      <c r="A1" s="1" t="s">
        <v>14</v>
      </c>
      <c r="B1" s="1" t="s">
        <v>73</v>
      </c>
      <c r="C1" s="1" t="s">
        <v>15</v>
      </c>
      <c r="D1" s="1" t="s">
        <v>8</v>
      </c>
      <c r="E1" s="1" t="s">
        <v>16</v>
      </c>
      <c r="F1" s="1" t="s">
        <v>3</v>
      </c>
      <c r="G1" s="1" t="s">
        <v>17</v>
      </c>
      <c r="H1" s="1" t="s">
        <v>18</v>
      </c>
      <c r="I1" s="1" t="s">
        <v>79</v>
      </c>
      <c r="J1" s="6" t="s">
        <v>74</v>
      </c>
    </row>
    <row r="2" spans="1:10" x14ac:dyDescent="0.35">
      <c r="A2">
        <v>1</v>
      </c>
      <c r="B2" s="2">
        <v>46082</v>
      </c>
      <c r="C2" t="s">
        <v>19</v>
      </c>
      <c r="D2" t="s">
        <v>9</v>
      </c>
      <c r="E2" t="s">
        <v>20</v>
      </c>
      <c r="F2" t="s">
        <v>5</v>
      </c>
      <c r="G2" t="s">
        <v>21</v>
      </c>
      <c r="H2" t="s">
        <v>22</v>
      </c>
      <c r="I2">
        <f>IF(F2="High",1,IF(F2="Medium",2,IF(F2="Low",3)))</f>
        <v>1</v>
      </c>
      <c r="J2" s="2">
        <f>B2+I2</f>
        <v>46083</v>
      </c>
    </row>
    <row r="3" spans="1:10" x14ac:dyDescent="0.35">
      <c r="A3">
        <v>2</v>
      </c>
      <c r="B3" s="2">
        <v>46082</v>
      </c>
      <c r="C3" t="s">
        <v>23</v>
      </c>
      <c r="D3" t="s">
        <v>10</v>
      </c>
      <c r="E3" t="s">
        <v>24</v>
      </c>
      <c r="F3" t="s">
        <v>6</v>
      </c>
      <c r="G3" t="s">
        <v>21</v>
      </c>
      <c r="H3" t="s">
        <v>25</v>
      </c>
      <c r="I3">
        <f t="shared" ref="I3:I16" si="0">IF(F3="High",1,IF(F3="Medium",2,IF(F3="Low",3)))</f>
        <v>2</v>
      </c>
      <c r="J3" s="2">
        <f t="shared" ref="J3:J16" si="1">B3+I3</f>
        <v>46084</v>
      </c>
    </row>
    <row r="4" spans="1:10" x14ac:dyDescent="0.35">
      <c r="A4">
        <v>3</v>
      </c>
      <c r="B4" s="2">
        <v>46083</v>
      </c>
      <c r="C4" t="s">
        <v>26</v>
      </c>
      <c r="D4" t="s">
        <v>11</v>
      </c>
      <c r="E4" t="s">
        <v>27</v>
      </c>
      <c r="F4" t="s">
        <v>5</v>
      </c>
      <c r="G4" t="s">
        <v>21</v>
      </c>
      <c r="H4" t="s">
        <v>28</v>
      </c>
      <c r="I4">
        <f t="shared" si="0"/>
        <v>1</v>
      </c>
      <c r="J4" s="2">
        <f t="shared" si="1"/>
        <v>46084</v>
      </c>
    </row>
    <row r="5" spans="1:10" x14ac:dyDescent="0.35">
      <c r="A5">
        <v>4</v>
      </c>
      <c r="B5" s="2">
        <v>46083</v>
      </c>
      <c r="C5" t="s">
        <v>29</v>
      </c>
      <c r="D5" t="s">
        <v>12</v>
      </c>
      <c r="E5" t="s">
        <v>30</v>
      </c>
      <c r="F5" t="s">
        <v>6</v>
      </c>
      <c r="G5" t="s">
        <v>31</v>
      </c>
      <c r="H5" t="s">
        <v>32</v>
      </c>
      <c r="I5">
        <f t="shared" si="0"/>
        <v>2</v>
      </c>
      <c r="J5" s="2">
        <f t="shared" si="1"/>
        <v>46085</v>
      </c>
    </row>
    <row r="6" spans="1:10" x14ac:dyDescent="0.35">
      <c r="A6">
        <v>5</v>
      </c>
      <c r="B6" s="2">
        <v>46084</v>
      </c>
      <c r="C6" t="s">
        <v>33</v>
      </c>
      <c r="D6" t="s">
        <v>9</v>
      </c>
      <c r="E6" t="s">
        <v>34</v>
      </c>
      <c r="F6" t="s">
        <v>5</v>
      </c>
      <c r="G6" t="s">
        <v>21</v>
      </c>
      <c r="H6" t="s">
        <v>35</v>
      </c>
      <c r="I6">
        <f t="shared" si="0"/>
        <v>1</v>
      </c>
      <c r="J6" s="2">
        <f t="shared" si="1"/>
        <v>46085</v>
      </c>
    </row>
    <row r="7" spans="1:10" x14ac:dyDescent="0.35">
      <c r="A7">
        <v>6</v>
      </c>
      <c r="B7" s="2">
        <v>46084</v>
      </c>
      <c r="C7" t="s">
        <v>36</v>
      </c>
      <c r="D7" t="s">
        <v>13</v>
      </c>
      <c r="E7" t="s">
        <v>37</v>
      </c>
      <c r="F7" t="s">
        <v>7</v>
      </c>
      <c r="G7" t="s">
        <v>21</v>
      </c>
      <c r="H7" t="s">
        <v>38</v>
      </c>
      <c r="I7">
        <f t="shared" si="0"/>
        <v>3</v>
      </c>
      <c r="J7" s="2">
        <f t="shared" si="1"/>
        <v>46087</v>
      </c>
    </row>
    <row r="8" spans="1:10" x14ac:dyDescent="0.35">
      <c r="A8">
        <v>7</v>
      </c>
      <c r="B8" s="2">
        <v>46085</v>
      </c>
      <c r="C8" t="s">
        <v>39</v>
      </c>
      <c r="D8" t="s">
        <v>11</v>
      </c>
      <c r="E8" t="s">
        <v>40</v>
      </c>
      <c r="F8" t="s">
        <v>5</v>
      </c>
      <c r="G8" t="s">
        <v>31</v>
      </c>
      <c r="H8" t="s">
        <v>41</v>
      </c>
      <c r="I8">
        <f t="shared" si="0"/>
        <v>1</v>
      </c>
      <c r="J8" s="2">
        <f t="shared" si="1"/>
        <v>46086</v>
      </c>
    </row>
    <row r="9" spans="1:10" x14ac:dyDescent="0.35">
      <c r="A9">
        <v>8</v>
      </c>
      <c r="B9" s="2">
        <v>46085</v>
      </c>
      <c r="C9" t="s">
        <v>42</v>
      </c>
      <c r="D9" t="s">
        <v>10</v>
      </c>
      <c r="E9" t="s">
        <v>43</v>
      </c>
      <c r="F9" t="s">
        <v>7</v>
      </c>
      <c r="G9" t="s">
        <v>21</v>
      </c>
      <c r="H9" t="s">
        <v>44</v>
      </c>
      <c r="I9">
        <f t="shared" si="0"/>
        <v>3</v>
      </c>
      <c r="J9" s="2">
        <f t="shared" si="1"/>
        <v>46088</v>
      </c>
    </row>
    <row r="10" spans="1:10" x14ac:dyDescent="0.35">
      <c r="A10">
        <v>9</v>
      </c>
      <c r="B10" s="2">
        <v>46086</v>
      </c>
      <c r="C10" t="s">
        <v>45</v>
      </c>
      <c r="D10" t="s">
        <v>12</v>
      </c>
      <c r="E10" t="s">
        <v>46</v>
      </c>
      <c r="F10" t="s">
        <v>6</v>
      </c>
      <c r="G10" t="s">
        <v>21</v>
      </c>
      <c r="H10" t="s">
        <v>47</v>
      </c>
      <c r="I10">
        <f t="shared" si="0"/>
        <v>2</v>
      </c>
      <c r="J10" s="2">
        <f t="shared" si="1"/>
        <v>46088</v>
      </c>
    </row>
    <row r="11" spans="1:10" x14ac:dyDescent="0.35">
      <c r="A11">
        <v>10</v>
      </c>
      <c r="B11" s="2">
        <v>46086</v>
      </c>
      <c r="C11" t="s">
        <v>48</v>
      </c>
      <c r="D11" t="s">
        <v>9</v>
      </c>
      <c r="E11" t="s">
        <v>49</v>
      </c>
      <c r="F11" t="s">
        <v>7</v>
      </c>
      <c r="G11" t="s">
        <v>21</v>
      </c>
      <c r="H11" t="s">
        <v>50</v>
      </c>
      <c r="I11">
        <f t="shared" si="0"/>
        <v>3</v>
      </c>
      <c r="J11" s="2">
        <f t="shared" si="1"/>
        <v>46089</v>
      </c>
    </row>
    <row r="12" spans="1:10" x14ac:dyDescent="0.35">
      <c r="A12">
        <v>11</v>
      </c>
      <c r="B12" s="2">
        <v>46087</v>
      </c>
      <c r="C12" t="s">
        <v>51</v>
      </c>
      <c r="D12" t="s">
        <v>11</v>
      </c>
      <c r="E12" t="s">
        <v>52</v>
      </c>
      <c r="F12" t="s">
        <v>6</v>
      </c>
      <c r="G12" t="s">
        <v>31</v>
      </c>
      <c r="H12" t="s">
        <v>53</v>
      </c>
      <c r="I12">
        <f t="shared" si="0"/>
        <v>2</v>
      </c>
      <c r="J12" s="2">
        <f t="shared" si="1"/>
        <v>46089</v>
      </c>
    </row>
    <row r="13" spans="1:10" x14ac:dyDescent="0.35">
      <c r="A13">
        <v>12</v>
      </c>
      <c r="B13" s="2">
        <v>46087</v>
      </c>
      <c r="C13" t="s">
        <v>54</v>
      </c>
      <c r="D13" t="s">
        <v>13</v>
      </c>
      <c r="E13" t="s">
        <v>55</v>
      </c>
      <c r="F13" t="s">
        <v>7</v>
      </c>
      <c r="G13" t="s">
        <v>21</v>
      </c>
      <c r="H13" t="s">
        <v>56</v>
      </c>
      <c r="I13">
        <f t="shared" si="0"/>
        <v>3</v>
      </c>
      <c r="J13" s="2">
        <f t="shared" si="1"/>
        <v>46090</v>
      </c>
    </row>
    <row r="14" spans="1:10" x14ac:dyDescent="0.35">
      <c r="A14">
        <v>13</v>
      </c>
      <c r="B14" s="2">
        <v>46088</v>
      </c>
      <c r="C14" t="s">
        <v>57</v>
      </c>
      <c r="D14" t="s">
        <v>12</v>
      </c>
      <c r="E14" t="s">
        <v>58</v>
      </c>
      <c r="F14" t="s">
        <v>5</v>
      </c>
      <c r="G14" t="s">
        <v>31</v>
      </c>
      <c r="H14" t="s">
        <v>59</v>
      </c>
      <c r="I14">
        <f t="shared" si="0"/>
        <v>1</v>
      </c>
      <c r="J14" s="2">
        <f t="shared" si="1"/>
        <v>46089</v>
      </c>
    </row>
    <row r="15" spans="1:10" x14ac:dyDescent="0.35">
      <c r="A15">
        <v>14</v>
      </c>
      <c r="B15" s="2">
        <v>46088</v>
      </c>
      <c r="C15" t="s">
        <v>60</v>
      </c>
      <c r="D15" t="s">
        <v>10</v>
      </c>
      <c r="E15" t="s">
        <v>61</v>
      </c>
      <c r="F15" t="s">
        <v>6</v>
      </c>
      <c r="G15" t="s">
        <v>21</v>
      </c>
      <c r="H15" t="s">
        <v>62</v>
      </c>
      <c r="I15">
        <f t="shared" si="0"/>
        <v>2</v>
      </c>
      <c r="J15" s="2">
        <f t="shared" si="1"/>
        <v>46090</v>
      </c>
    </row>
    <row r="16" spans="1:10" x14ac:dyDescent="0.35">
      <c r="A16">
        <v>15</v>
      </c>
      <c r="B16" s="2">
        <v>46089</v>
      </c>
      <c r="C16" t="s">
        <v>63</v>
      </c>
      <c r="D16" t="s">
        <v>9</v>
      </c>
      <c r="E16" t="s">
        <v>64</v>
      </c>
      <c r="F16" t="s">
        <v>5</v>
      </c>
      <c r="G16" t="s">
        <v>21</v>
      </c>
      <c r="H16" t="s">
        <v>65</v>
      </c>
      <c r="I16">
        <f t="shared" si="0"/>
        <v>1</v>
      </c>
      <c r="J16" s="2">
        <f t="shared" si="1"/>
        <v>46090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Helpdesk_Summary</vt:lpstr>
      <vt:lpstr>Tickets_Data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Saleem</dc:creator>
  <cp:lastModifiedBy>Nabeel Saleem</cp:lastModifiedBy>
  <dcterms:created xsi:type="dcterms:W3CDTF">2026-03-19T19:58:25Z</dcterms:created>
  <dcterms:modified xsi:type="dcterms:W3CDTF">2026-03-21T14:55:08Z</dcterms:modified>
</cp:coreProperties>
</file>